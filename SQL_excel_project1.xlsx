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Shelza Bohtiya DA Files\"/>
    </mc:Choice>
  </mc:AlternateContent>
  <xr:revisionPtr revIDLastSave="0" documentId="13_ncr:1_{7990A3B8-BB01-491C-85A2-D9FF16687F35}" xr6:coauthVersionLast="47" xr6:coauthVersionMax="47" xr10:uidLastSave="{00000000-0000-0000-0000-000000000000}"/>
  <bookViews>
    <workbookView xWindow="-110" yWindow="-110" windowWidth="19420" windowHeight="10300" firstSheet="1" activeTab="4" xr2:uid="{5DC203A7-68DB-4DA3-B4E6-BE1D630382AD}"/>
  </bookViews>
  <sheets>
    <sheet name="Queries" sheetId="2" r:id="rId1"/>
    <sheet name="Analysis" sheetId="1" r:id="rId2"/>
    <sheet name="yearly_trend" sheetId="6" r:id="rId3"/>
    <sheet name="customer_segments" sheetId="5" r:id="rId4"/>
    <sheet name="region_category" sheetId="4" r:id="rId5"/>
  </sheets>
  <definedNames>
    <definedName name="ExternalData_1" localSheetId="4" hidden="1">'region_category'!$A$1:$E$13</definedName>
    <definedName name="ExternalData_2" localSheetId="3" hidden="1">'customer_segments'!$A$1:$B$5</definedName>
    <definedName name="ExternalData_3" localSheetId="2" hidden="1">yearly_trend!$A$1:$C$5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8ED10-6118-422D-866A-D91AA6B312F3}" keepAlive="1" name="Query - customer_segments" description="Connection to the 'customer_segments' query in the workbook." type="5" refreshedVersion="8" background="1" saveData="1">
    <dbPr connection="Provider=Microsoft.Mashup.OleDb.1;Data Source=$Workbook$;Location=customer_segments;Extended Properties=&quot;&quot;" command="SELECT * FROM [customer_segments]"/>
  </connection>
  <connection id="2" xr16:uid="{9228B7C5-55FA-4CCD-AA75-FC1D4D4892ED}" keepAlive="1" name="Query - region_category" description="Connection to the 'region_category' query in the workbook." type="5" refreshedVersion="8" background="1" saveData="1">
    <dbPr connection="Provider=Microsoft.Mashup.OleDb.1;Data Source=$Workbook$;Location=region_category;Extended Properties=&quot;&quot;" command="SELECT * FROM [region_category]"/>
  </connection>
  <connection id="3" xr16:uid="{55937317-0E64-4E72-A460-CFC40A111C11}" keepAlive="1" name="Query - yearly_trend" description="Connection to the 'yearly_trend' query in the workbook." type="5" refreshedVersion="8" background="1" saveData="1">
    <dbPr connection="Provider=Microsoft.Mashup.OleDb.1;Data Source=$Workbook$;Location=yearly_trend;Extended Properties=&quot;&quot;" command="SELECT * FROM [yearly_trend]"/>
  </connection>
</connections>
</file>

<file path=xl/sharedStrings.xml><?xml version="1.0" encoding="utf-8"?>
<sst xmlns="http://schemas.openxmlformats.org/spreadsheetml/2006/main" count="89" uniqueCount="61">
  <si>
    <t>How many total records</t>
  </si>
  <si>
    <t>What date range does data cover?</t>
  </si>
  <si>
    <t>How many unique customers?</t>
  </si>
  <si>
    <t>Top 20 customers by revenue?</t>
  </si>
  <si>
    <t>Customer segmentation?</t>
  </si>
  <si>
    <t>Order frequency range?</t>
  </si>
  <si>
    <t>SELECT COUNT(*) AS Total_Records from Orders$</t>
  </si>
  <si>
    <t>SELECT MIN([Order Date]) AS earliest_date,
       MAX([Order Date]) AS latest_date
FROM Orders$</t>
  </si>
  <si>
    <t>select count(distinct [Customer ID]) as Total_customer from orders$</t>
  </si>
  <si>
    <t xml:space="preserve"> select top 20 [customer id], round(sum(sales), 2) as Total_revenue, count(distinct([order id])) as Total_orders
 from Orders$
 group by [Customer ID]
 order by Total_revenue desc</t>
  </si>
  <si>
    <t xml:space="preserve">SELECT
  CASE
    WHEN total_orders = 1 THEN '1. One-time Customer'
    WHEN total_orders BETWEEN 2 AND 5 THEN '2. Regular Customer'
    WHEN total_orders BETWEEN 6 AND 10 THEN '3. Loyal Customer'
    ELSE '4. VIP Customer'
  END AS customer_segment,
  COUNT(*) AS customer_count
FROM (
  SELECT [Customer ID],
         COUNT(DISTINCT [Order ID]) AS total_orders
  FROM Orders$
  GROUP BY [Customer ID]
) AS customer_summary
GROUP BY
  CASE
    WHEN total_orders = 1 THEN '1. One-time Customer'
    WHEN total_orders BETWEEN 2 AND 5 THEN '2. Regular Customer'
    WHEN total_orders BETWEEN 6 AND 10 THEN '3. Loyal Customer'
    ELSE '4. VIP Customer'
  END
ORDER BY customer_segment </t>
  </si>
  <si>
    <t>SELECT COUNT(DISTINCT [Order ID]) AS total_orders,
       [Customer ID]
FROM Orders$
GROUP BY [Customer ID]
ORDER BY total_orders ASC</t>
  </si>
  <si>
    <t>Business Questions</t>
  </si>
  <si>
    <t>SQL Queries</t>
  </si>
  <si>
    <t>Query NO.</t>
  </si>
  <si>
    <t>Observation</t>
  </si>
  <si>
    <t xml:space="preserve">2015-01-03 	2018-12-30 </t>
  </si>
  <si>
    <t>Result</t>
  </si>
  <si>
    <t>4 years of data</t>
  </si>
  <si>
    <t xml:space="preserve">total unique customer over period of 4 years </t>
  </si>
  <si>
    <t>Top customer 25K+ in sales —  80/20 pattern likely</t>
  </si>
  <si>
    <t>Range 1–17 orders</t>
  </si>
  <si>
    <t>One-time: 12, Regular: 317, Loyal: 415, VIP: 49</t>
  </si>
  <si>
    <t>Who are the highest value customers per order?</t>
  </si>
  <si>
    <t>Sean Miller tops at $5,008 avg order value</t>
  </si>
  <si>
    <t>Home Office and Corporate segments dominate top 15 — these customers spend significantly more per order than Consumer segment. Sean Miller alone contributed $25,043 across just 5 orders.
Interesting Patterns in Your Data — Note These</t>
  </si>
  <si>
    <t>SELECT TOP 15
       [Customer Name],
       [Segment],
       COUNT(DISTINCT [Order ID])  AS total_orders,
       ROUND(SUM(Sales), 2)  AS total_revenue,
       ROUND(SUM(Sales) / 
         COUNT(DISTINCT [Order ID]), 2)  AS avg_order_value
FROM Orders$
GROUP BY [Customer ID], [Customer Name], [Segment]
HAVING COUNT(DISTINCT [Order ID]) &gt;= 3
ORDER BY avg_order_value DESC</t>
  </si>
  <si>
    <t>Is revenue growing year over year?</t>
  </si>
  <si>
    <t>2015: $484K, 2016: $471K, 2017: $609K, 2018: $733K</t>
  </si>
  <si>
    <t>Strong growth trend — revenue grew 51% from 2015 to 2018. One dip in 2016 but strong recovery. Orders also grew from 969 to 1,687 — both volume and value increasing.</t>
  </si>
  <si>
    <t>Which region and category drives most sales and profit?</t>
  </si>
  <si>
    <t>East Technology highest at $265K sales, $47K profit</t>
  </si>
  <si>
    <t>Critical finding: Central Furniture generates $164K revenue but is loss-making (-$2,871 profit) due to 30% average discounting. West and East lead overall performance.</t>
  </si>
  <si>
    <t>SELECT Region,
       Category,
       ROUND(SUM(Sales), 2)     AS total_sales,
       ROUND(SUM(Profit), 2)    AS total_profit,
       ROUND(AVG(Discount), 3)  AS avg_discount
FROM orders
GROUP BY Region, Category
ORDER BY Region, total_sales DESC;</t>
  </si>
  <si>
    <t>SELECT YEAR([Order Date])          AS order_year,
       ROUND(SUM(Sales), 2)        AS annual_revenue,
       COUNT(DISTINCT [Order ID])  AS total_orders
FROM orders
GROUP BY YEAR([Order Date])
ORDER BY order_year;</t>
  </si>
  <si>
    <t>Customer order frequency ranges from 1 to 17 orders. Wide range confirms need for 4-tier segmentation — one-time to VIP.</t>
  </si>
  <si>
    <t xml:space="preserve">Segmented 793 customers into 4 tiers by purchase frequency — 58% Loyal, 6% VIP. Strong retention profile with opportunity to upgrade 317 Regular customers.
</t>
  </si>
  <si>
    <t>Summary</t>
  </si>
  <si>
    <t>Key Finding | | Revenue grew 51% over 4 years. Strong loyal base (58%). Central Furniture is loss-making due to 30% discounting — biggest business risk identified. |</t>
  </si>
  <si>
    <t>Central</t>
  </si>
  <si>
    <t>Technology</t>
  </si>
  <si>
    <t>Office Supplies</t>
  </si>
  <si>
    <t>Furniture</t>
  </si>
  <si>
    <t>East</t>
  </si>
  <si>
    <t>South</t>
  </si>
  <si>
    <t>West</t>
  </si>
  <si>
    <t>1. One-time Customer</t>
  </si>
  <si>
    <t>2. Regular Customer</t>
  </si>
  <si>
    <t>3. Loyal Customer</t>
  </si>
  <si>
    <t>4. VIP Customer</t>
  </si>
  <si>
    <t>count</t>
  </si>
  <si>
    <t>Segment</t>
  </si>
  <si>
    <t>Region</t>
  </si>
  <si>
    <t>Category</t>
  </si>
  <si>
    <t>Total Sales</t>
  </si>
  <si>
    <t>Total Profit</t>
  </si>
  <si>
    <t>Avg Discount</t>
  </si>
  <si>
    <t>Order Year</t>
  </si>
  <si>
    <t>Total Revenue</t>
  </si>
  <si>
    <t>Total Orders</t>
  </si>
  <si>
    <t>SM-20320 (Sean Miller) = $25,043 across 5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</si>
</sst>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2" borderId="3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 Trend 2015-2018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yearly_trend!$A$1</c:f>
              <c:strCache>
                <c:ptCount val="1"/>
                <c:pt idx="0">
                  <c:v>Order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yearly_trend!$A$2:$A$5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D-4766-8B66-347A0BCE7F33}"/>
            </c:ext>
          </c:extLst>
        </c:ser>
        <c:ser>
          <c:idx val="1"/>
          <c:order val="1"/>
          <c:tx>
            <c:strRef>
              <c:f>yearly_trend!$B$1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yearly_trend!$B$2:$B$5</c:f>
              <c:numCache>
                <c:formatCode>General</c:formatCode>
                <c:ptCount val="4"/>
                <c:pt idx="0">
                  <c:v>483966.13</c:v>
                </c:pt>
                <c:pt idx="1">
                  <c:v>470532.51</c:v>
                </c:pt>
                <c:pt idx="2">
                  <c:v>609205.6</c:v>
                </c:pt>
                <c:pt idx="3">
                  <c:v>733215.26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D-4766-8B66-347A0BCE7F33}"/>
            </c:ext>
          </c:extLst>
        </c:ser>
        <c:ser>
          <c:idx val="2"/>
          <c:order val="2"/>
          <c:tx>
            <c:strRef>
              <c:f>yearly_trend!$C$1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3499999999999997E-2"/>
                  <c:y val="-5.3206109652960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8D-4766-8B66-347A0BCE7F33}"/>
                </c:ext>
              </c:extLst>
            </c:dLbl>
            <c:dLbl>
              <c:idx val="1"/>
              <c:layout>
                <c:manualLayout>
                  <c:x val="3.4388888888888788E-2"/>
                  <c:y val="-5.3206109652960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8D-4766-8B66-347A0BCE7F33}"/>
                </c:ext>
              </c:extLst>
            </c:dLbl>
            <c:dLbl>
              <c:idx val="2"/>
              <c:layout>
                <c:manualLayout>
                  <c:x val="3.4388888888888788E-2"/>
                  <c:y val="-4.8576480023330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8D-4766-8B66-347A0BCE7F33}"/>
                </c:ext>
              </c:extLst>
            </c:dLbl>
            <c:dLbl>
              <c:idx val="3"/>
              <c:layout>
                <c:manualLayout>
                  <c:x val="2.8833333333333332E-2"/>
                  <c:y val="-4.39468503937009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8D-4766-8B66-347A0BCE7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yearly_trend!$C$2:$C$5</c:f>
              <c:numCache>
                <c:formatCode>General</c:formatCode>
                <c:ptCount val="4"/>
                <c:pt idx="0">
                  <c:v>969</c:v>
                </c:pt>
                <c:pt idx="1">
                  <c:v>1038</c:v>
                </c:pt>
                <c:pt idx="2">
                  <c:v>1315</c:v>
                </c:pt>
                <c:pt idx="3">
                  <c:v>1687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D-4766-8B66-347A0BCE7F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19917791"/>
        <c:axId val="1319924511"/>
      </c:lineChart>
      <c:catAx>
        <c:axId val="1319917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24511"/>
        <c:crosses val="autoZero"/>
        <c:auto val="1"/>
        <c:lblAlgn val="ctr"/>
        <c:lblOffset val="100"/>
        <c:noMultiLvlLbl val="0"/>
      </c:catAx>
      <c:valAx>
        <c:axId val="13199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1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60000" anchor="ctr" anchorCtr="0"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 by Order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'customer_segments'!$A$1</c:f>
              <c:strCache>
                <c:ptCount val="1"/>
                <c:pt idx="0">
                  <c:v>Segment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'customer_segments'!$A$2:$A$6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00A-996D-E5C6AE528DF5}"/>
            </c:ext>
          </c:extLst>
        </c:ser>
        <c:ser>
          <c:idx val="1"/>
          <c:order val="1"/>
          <c:tx>
            <c:strRef>
              <c:f>'customer_segments'!$B$1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'customer_segments'!$B$2:$B$6</c:f>
              <c:numCache>
                <c:formatCode>General</c:formatCode>
                <c:ptCount val="5"/>
                <c:pt idx="0">
                  <c:v>12</c:v>
                </c:pt>
                <c:pt idx="1">
                  <c:v>317</c:v>
                </c:pt>
                <c:pt idx="2">
                  <c:v>415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F-400A-996D-E5C6AE528D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2168463"/>
        <c:axId val="1132173263"/>
      </c:barChart>
      <c:catAx>
        <c:axId val="113216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73263"/>
        <c:crosses val="autoZero"/>
        <c:auto val="1"/>
        <c:lblAlgn val="ctr"/>
        <c:lblOffset val="100"/>
        <c:noMultiLvlLbl val="0"/>
      </c:catAx>
      <c:valAx>
        <c:axId val="11321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6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6350</xdr:rowOff>
    </xdr:from>
    <xdr:to>
      <xdr:col>10</xdr:col>
      <xdr:colOff>323850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BC85D-DB3B-4B56-4912-B641E29BD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5</xdr:row>
      <xdr:rowOff>165100</xdr:rowOff>
    </xdr:from>
    <xdr:to>
      <xdr:col>9</xdr:col>
      <xdr:colOff>298450</xdr:colOff>
      <xdr:row>20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3404A-6E7E-738F-154D-39BCAD227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4D65160-4C2F-4426-8020-90EBB472CF3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71D9393-F8B7-42B9-9C4D-71EB969F5F6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0BA721-5B88-46D3-BAA6-027153C1B7D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B47583-8111-4D66-BE09-A7EE08CC5E3F}" name="yearly_trend" displayName="yearly_trend" ref="A1:C5" tableType="queryTable" totalsRowShown="0">
  <autoFilter ref="A1:C5" xr:uid="{02B47583-8111-4D66-BE09-A7EE08CC5E3F}"/>
  <tableColumns count="3">
    <tableColumn id="1" xr3:uid="{D626464A-5AC3-495E-A4A9-E9CE89181FDB}" uniqueName="1" name="Order Year" queryTableFieldId="1"/>
    <tableColumn id="2" xr3:uid="{0789E7D4-830A-49F9-9312-5B86FD95C18C}" uniqueName="2" name="Total Revenue" queryTableFieldId="2"/>
    <tableColumn id="3" xr3:uid="{19C552BD-18B5-42CB-A408-EE28FF382494}" uniqueName="3" name="Total Order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527EF-E0A5-4868-8AA2-2284AA481E17}" name="customer_segments" displayName="customer_segments" ref="A1:B5" tableType="queryTable" totalsRowShown="0">
  <autoFilter ref="A1:B5" xr:uid="{3DE527EF-E0A5-4868-8AA2-2284AA481E17}"/>
  <tableColumns count="2">
    <tableColumn id="1" xr3:uid="{DFDE58D9-2A8D-481F-A924-8C2CDA50E58F}" uniqueName="1" name="Segment" queryTableFieldId="1" dataDxfId="0"/>
    <tableColumn id="2" xr3:uid="{750A4814-66FF-4B21-9917-F30EBAC46061}" uniqueName="2" name="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866EB-6E34-46D6-ABE8-25FB9C77576D}" name="region_category" displayName="region_category" ref="A1:E13" tableType="queryTable" totalsRowShown="0">
  <autoFilter ref="A1:E13" xr:uid="{F82866EB-6E34-46D6-ABE8-25FB9C77576D}"/>
  <tableColumns count="5">
    <tableColumn id="1" xr3:uid="{7FB3135A-1EAE-4090-BC36-4D46C1E6372B}" uniqueName="1" name="Region" queryTableFieldId="1" dataDxfId="2"/>
    <tableColumn id="2" xr3:uid="{C0268C85-CE86-46B9-8A8C-F4F4872D4514}" uniqueName="2" name="Category" queryTableFieldId="2" dataDxfId="1"/>
    <tableColumn id="3" xr3:uid="{6D14C09A-CC37-4CEA-8041-D232185BD5B5}" uniqueName="3" name="Total Sales" queryTableFieldId="3"/>
    <tableColumn id="4" xr3:uid="{AB0FDF0C-178F-45F2-8C93-9DDE1205B785}" uniqueName="4" name="Total Profit" queryTableFieldId="4"/>
    <tableColumn id="5" xr3:uid="{5839375B-3B1F-485A-8C5E-6F639C64EBCA}" uniqueName="5" name="Avg Dis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F400-AF09-4A2B-81B5-846BB87B2CDB}">
  <dimension ref="A1:D10"/>
  <sheetViews>
    <sheetView topLeftCell="A6" workbookViewId="0">
      <selection activeCell="A10" sqref="A10"/>
    </sheetView>
  </sheetViews>
  <sheetFormatPr defaultRowHeight="14.5" x14ac:dyDescent="0.35"/>
  <cols>
    <col min="1" max="1" width="8.7265625" style="2"/>
    <col min="2" max="2" width="31" style="2" customWidth="1"/>
    <col min="3" max="3" width="36" style="2" customWidth="1"/>
    <col min="4" max="4" width="8.7265625" style="2"/>
  </cols>
  <sheetData>
    <row r="1" spans="1:3" x14ac:dyDescent="0.35">
      <c r="A1" s="2" t="s">
        <v>14</v>
      </c>
      <c r="B1" s="2" t="s">
        <v>12</v>
      </c>
      <c r="C1" s="2" t="s">
        <v>13</v>
      </c>
    </row>
    <row r="2" spans="1:3" x14ac:dyDescent="0.35">
      <c r="A2" s="3">
        <v>1</v>
      </c>
      <c r="B2" s="2" t="s">
        <v>0</v>
      </c>
      <c r="C2" s="2" t="s">
        <v>6</v>
      </c>
    </row>
    <row r="3" spans="1:3" ht="45.5" customHeight="1" x14ac:dyDescent="0.35">
      <c r="A3" s="2">
        <v>2</v>
      </c>
      <c r="B3" s="2" t="s">
        <v>1</v>
      </c>
      <c r="C3" s="4" t="s">
        <v>7</v>
      </c>
    </row>
    <row r="4" spans="1:3" x14ac:dyDescent="0.35">
      <c r="A4" s="2">
        <v>3</v>
      </c>
      <c r="B4" s="2" t="s">
        <v>2</v>
      </c>
      <c r="C4" s="2" t="s">
        <v>8</v>
      </c>
    </row>
    <row r="5" spans="1:3" ht="87" x14ac:dyDescent="0.35">
      <c r="A5" s="2">
        <v>4</v>
      </c>
      <c r="B5" s="2" t="s">
        <v>3</v>
      </c>
      <c r="C5" s="4" t="s">
        <v>9</v>
      </c>
    </row>
    <row r="6" spans="1:3" ht="409.5" x14ac:dyDescent="0.35">
      <c r="A6" s="2">
        <v>5</v>
      </c>
      <c r="B6" s="2" t="s">
        <v>4</v>
      </c>
      <c r="C6" s="4" t="s">
        <v>10</v>
      </c>
    </row>
    <row r="7" spans="1:3" ht="87" x14ac:dyDescent="0.35">
      <c r="A7" s="2">
        <v>6</v>
      </c>
      <c r="B7" s="2" t="s">
        <v>5</v>
      </c>
      <c r="C7" s="4" t="s">
        <v>11</v>
      </c>
    </row>
    <row r="8" spans="1:3" ht="217.5" x14ac:dyDescent="0.35">
      <c r="A8" s="2">
        <v>7</v>
      </c>
      <c r="B8" s="2" t="s">
        <v>23</v>
      </c>
      <c r="C8" s="4" t="s">
        <v>26</v>
      </c>
    </row>
    <row r="9" spans="1:3" ht="130.5" x14ac:dyDescent="0.35">
      <c r="A9" s="2">
        <v>8</v>
      </c>
      <c r="B9" s="2" t="s">
        <v>27</v>
      </c>
      <c r="C9" s="4" t="s">
        <v>34</v>
      </c>
    </row>
    <row r="10" spans="1:3" ht="145" x14ac:dyDescent="0.35">
      <c r="A10" s="2">
        <v>9</v>
      </c>
      <c r="B10" s="2" t="s">
        <v>30</v>
      </c>
      <c r="C10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E7B2-FC66-4010-A8C0-19B06B6E8AEC}">
  <dimension ref="A1:M12"/>
  <sheetViews>
    <sheetView workbookViewId="0">
      <selection activeCell="D17" sqref="D17"/>
    </sheetView>
  </sheetViews>
  <sheetFormatPr defaultRowHeight="14.5" x14ac:dyDescent="0.35"/>
  <cols>
    <col min="1" max="1" width="8.7265625" style="11"/>
    <col min="2" max="2" width="31" style="9" customWidth="1"/>
    <col min="3" max="3" width="8.7265625" style="9"/>
    <col min="4" max="4" width="52.7265625" style="9" customWidth="1"/>
    <col min="5" max="16384" width="8.7265625" style="10"/>
  </cols>
  <sheetData>
    <row r="1" spans="1:13" s="7" customFormat="1" x14ac:dyDescent="0.35">
      <c r="A1" s="5" t="s">
        <v>14</v>
      </c>
      <c r="B1" s="6" t="s">
        <v>12</v>
      </c>
      <c r="C1" s="6" t="s">
        <v>17</v>
      </c>
      <c r="D1" s="6" t="s">
        <v>15</v>
      </c>
    </row>
    <row r="2" spans="1:13" x14ac:dyDescent="0.35">
      <c r="A2" s="8">
        <v>1</v>
      </c>
      <c r="B2" s="9" t="s">
        <v>0</v>
      </c>
      <c r="C2" s="9">
        <v>9993</v>
      </c>
    </row>
    <row r="3" spans="1:13" x14ac:dyDescent="0.35">
      <c r="A3" s="11">
        <v>2</v>
      </c>
      <c r="B3" s="9" t="s">
        <v>1</v>
      </c>
      <c r="C3" s="9" t="s">
        <v>16</v>
      </c>
      <c r="D3" s="9" t="s">
        <v>18</v>
      </c>
    </row>
    <row r="4" spans="1:13" x14ac:dyDescent="0.35">
      <c r="A4" s="11">
        <v>3</v>
      </c>
      <c r="B4" s="9" t="s">
        <v>2</v>
      </c>
      <c r="C4" s="9">
        <v>793</v>
      </c>
      <c r="D4" s="9" t="s">
        <v>19</v>
      </c>
    </row>
    <row r="5" spans="1:13" x14ac:dyDescent="0.35">
      <c r="A5" s="11">
        <v>4</v>
      </c>
      <c r="B5" s="9" t="s">
        <v>3</v>
      </c>
      <c r="C5" s="9" t="s">
        <v>60</v>
      </c>
      <c r="D5" s="9" t="s">
        <v>20</v>
      </c>
    </row>
    <row r="6" spans="1:13" ht="58" x14ac:dyDescent="0.35">
      <c r="A6" s="11">
        <v>5</v>
      </c>
      <c r="B6" s="9" t="s">
        <v>4</v>
      </c>
      <c r="C6" s="9" t="s">
        <v>22</v>
      </c>
      <c r="D6" s="12" t="s">
        <v>36</v>
      </c>
    </row>
    <row r="7" spans="1:13" x14ac:dyDescent="0.35">
      <c r="A7" s="11">
        <v>6</v>
      </c>
      <c r="B7" s="9" t="s">
        <v>5</v>
      </c>
      <c r="C7" s="9" t="s">
        <v>21</v>
      </c>
      <c r="D7" s="9" t="s">
        <v>35</v>
      </c>
    </row>
    <row r="8" spans="1:13" ht="45.5" customHeight="1" x14ac:dyDescent="0.35">
      <c r="A8" s="11">
        <v>7</v>
      </c>
      <c r="B8" s="10" t="s">
        <v>23</v>
      </c>
      <c r="C8" s="10" t="s">
        <v>24</v>
      </c>
      <c r="D8" s="12" t="s">
        <v>25</v>
      </c>
    </row>
    <row r="9" spans="1:13" x14ac:dyDescent="0.35">
      <c r="A9" s="11">
        <v>8</v>
      </c>
      <c r="B9" s="13" t="s">
        <v>27</v>
      </c>
      <c r="C9" s="9" t="s">
        <v>28</v>
      </c>
      <c r="D9" s="9" t="s">
        <v>29</v>
      </c>
    </row>
    <row r="10" spans="1:13" x14ac:dyDescent="0.35">
      <c r="A10" s="11">
        <v>9</v>
      </c>
      <c r="B10" s="9" t="s">
        <v>30</v>
      </c>
      <c r="C10" s="9" t="s">
        <v>31</v>
      </c>
      <c r="D10" s="9" t="s">
        <v>32</v>
      </c>
    </row>
    <row r="12" spans="1:13" x14ac:dyDescent="0.35">
      <c r="A12" s="14"/>
      <c r="B12" s="15" t="s">
        <v>37</v>
      </c>
      <c r="C12" s="16" t="s">
        <v>38</v>
      </c>
      <c r="D12" s="16"/>
      <c r="E12" s="17"/>
      <c r="F12" s="17"/>
      <c r="G12" s="17"/>
      <c r="H12" s="17"/>
      <c r="I12" s="17"/>
      <c r="J12" s="17"/>
      <c r="K12" s="17"/>
      <c r="L12" s="17"/>
      <c r="M1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7B74-62A5-44BA-A7AB-3DDE10AABA85}">
  <dimension ref="A1:C5"/>
  <sheetViews>
    <sheetView workbookViewId="0">
      <selection activeCell="C13" sqref="C13"/>
    </sheetView>
  </sheetViews>
  <sheetFormatPr defaultRowHeight="14.5" x14ac:dyDescent="0.35"/>
  <cols>
    <col min="1" max="3" width="10.7265625" bestFit="1" customWidth="1"/>
  </cols>
  <sheetData>
    <row r="1" spans="1:3" x14ac:dyDescent="0.35">
      <c r="A1" t="s">
        <v>57</v>
      </c>
      <c r="B1" t="s">
        <v>58</v>
      </c>
      <c r="C1" t="s">
        <v>59</v>
      </c>
    </row>
    <row r="2" spans="1:3" x14ac:dyDescent="0.35">
      <c r="A2">
        <v>2015</v>
      </c>
      <c r="B2">
        <v>483966.13</v>
      </c>
      <c r="C2">
        <v>969</v>
      </c>
    </row>
    <row r="3" spans="1:3" x14ac:dyDescent="0.35">
      <c r="A3">
        <v>2016</v>
      </c>
      <c r="B3">
        <v>470532.51</v>
      </c>
      <c r="C3">
        <v>1038</v>
      </c>
    </row>
    <row r="4" spans="1:3" x14ac:dyDescent="0.35">
      <c r="A4">
        <v>2017</v>
      </c>
      <c r="B4">
        <v>609205.6</v>
      </c>
      <c r="C4">
        <v>1315</v>
      </c>
    </row>
    <row r="5" spans="1:3" x14ac:dyDescent="0.35">
      <c r="A5">
        <v>2018</v>
      </c>
      <c r="B5">
        <v>733215.26</v>
      </c>
      <c r="C5">
        <v>1687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06FA-CEC0-44DD-8E08-BF40E8D0EE3F}">
  <dimension ref="A1:B5"/>
  <sheetViews>
    <sheetView workbookViewId="0">
      <selection activeCell="K21" sqref="K21"/>
    </sheetView>
  </sheetViews>
  <sheetFormatPr defaultRowHeight="14.5" x14ac:dyDescent="0.35"/>
  <cols>
    <col min="1" max="1" width="18.90625" bestFit="1" customWidth="1"/>
    <col min="2" max="2" width="10.7265625" bestFit="1" customWidth="1"/>
  </cols>
  <sheetData>
    <row r="1" spans="1:2" x14ac:dyDescent="0.35">
      <c r="A1" t="s">
        <v>51</v>
      </c>
      <c r="B1" t="s">
        <v>50</v>
      </c>
    </row>
    <row r="2" spans="1:2" x14ac:dyDescent="0.35">
      <c r="A2" s="1" t="s">
        <v>46</v>
      </c>
      <c r="B2">
        <v>12</v>
      </c>
    </row>
    <row r="3" spans="1:2" x14ac:dyDescent="0.35">
      <c r="A3" s="1" t="s">
        <v>47</v>
      </c>
      <c r="B3">
        <v>317</v>
      </c>
    </row>
    <row r="4" spans="1:2" x14ac:dyDescent="0.35">
      <c r="A4" s="1" t="s">
        <v>48</v>
      </c>
      <c r="B4">
        <v>415</v>
      </c>
    </row>
    <row r="5" spans="1:2" x14ac:dyDescent="0.35">
      <c r="A5" s="1" t="s">
        <v>49</v>
      </c>
      <c r="B5">
        <v>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35FD-7E8E-4F27-A3CC-95AAC921AE62}">
  <dimension ref="A1:E13"/>
  <sheetViews>
    <sheetView tabSelected="1" topLeftCell="A6" workbookViewId="0">
      <selection activeCell="D27" sqref="D27"/>
    </sheetView>
  </sheetViews>
  <sheetFormatPr defaultRowHeight="14.5" x14ac:dyDescent="0.35"/>
  <cols>
    <col min="1" max="1" width="10.7265625" bestFit="1" customWidth="1"/>
    <col min="2" max="2" width="13" bestFit="1" customWidth="1"/>
    <col min="3" max="5" width="10.7265625" bestFit="1" customWidth="1"/>
  </cols>
  <sheetData>
    <row r="1" spans="1:5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 t="s">
        <v>39</v>
      </c>
      <c r="B2" s="1" t="s">
        <v>40</v>
      </c>
      <c r="C2">
        <v>170416.31</v>
      </c>
      <c r="D2">
        <v>33697.43</v>
      </c>
      <c r="E2">
        <v>0.13300000000000001</v>
      </c>
    </row>
    <row r="3" spans="1:5" x14ac:dyDescent="0.35">
      <c r="A3" s="1" t="s">
        <v>39</v>
      </c>
      <c r="B3" s="1" t="s">
        <v>41</v>
      </c>
      <c r="C3">
        <v>167026.41</v>
      </c>
      <c r="D3">
        <v>8879.98</v>
      </c>
      <c r="E3">
        <v>0.253</v>
      </c>
    </row>
    <row r="4" spans="1:5" x14ac:dyDescent="0.35">
      <c r="A4" s="1" t="s">
        <v>39</v>
      </c>
      <c r="B4" s="1" t="s">
        <v>42</v>
      </c>
      <c r="C4">
        <v>163797.16</v>
      </c>
      <c r="D4">
        <v>-2871.05</v>
      </c>
      <c r="E4">
        <v>0.29699999999999999</v>
      </c>
    </row>
    <row r="5" spans="1:5" x14ac:dyDescent="0.35">
      <c r="A5" s="1" t="s">
        <v>43</v>
      </c>
      <c r="B5" s="1" t="s">
        <v>40</v>
      </c>
      <c r="C5">
        <v>264973.98</v>
      </c>
      <c r="D5">
        <v>47462.04</v>
      </c>
      <c r="E5">
        <v>0.14299999999999999</v>
      </c>
    </row>
    <row r="6" spans="1:5" x14ac:dyDescent="0.35">
      <c r="A6" s="1" t="s">
        <v>43</v>
      </c>
      <c r="B6" s="1" t="s">
        <v>42</v>
      </c>
      <c r="C6">
        <v>208009.83</v>
      </c>
      <c r="D6">
        <v>3058.22</v>
      </c>
      <c r="E6">
        <v>0.154</v>
      </c>
    </row>
    <row r="7" spans="1:5" x14ac:dyDescent="0.35">
      <c r="A7" s="1" t="s">
        <v>43</v>
      </c>
      <c r="B7" s="1" t="s">
        <v>41</v>
      </c>
      <c r="C7">
        <v>205516.05</v>
      </c>
      <c r="D7">
        <v>41014.58</v>
      </c>
      <c r="E7">
        <v>0.14299999999999999</v>
      </c>
    </row>
    <row r="8" spans="1:5" x14ac:dyDescent="0.35">
      <c r="A8" s="1" t="s">
        <v>44</v>
      </c>
      <c r="B8" s="1" t="s">
        <v>40</v>
      </c>
      <c r="C8">
        <v>148771.91</v>
      </c>
      <c r="D8">
        <v>19991.830000000002</v>
      </c>
      <c r="E8">
        <v>0.108</v>
      </c>
    </row>
    <row r="9" spans="1:5" x14ac:dyDescent="0.35">
      <c r="A9" s="1" t="s">
        <v>44</v>
      </c>
      <c r="B9" s="1" t="s">
        <v>41</v>
      </c>
      <c r="C9">
        <v>125651.31</v>
      </c>
      <c r="D9">
        <v>19986.39</v>
      </c>
      <c r="E9">
        <v>0.16700000000000001</v>
      </c>
    </row>
    <row r="10" spans="1:5" x14ac:dyDescent="0.35">
      <c r="A10" s="1" t="s">
        <v>44</v>
      </c>
      <c r="B10" s="1" t="s">
        <v>42</v>
      </c>
      <c r="C10">
        <v>117298.68</v>
      </c>
      <c r="D10">
        <v>6771.21</v>
      </c>
      <c r="E10">
        <v>0.122</v>
      </c>
    </row>
    <row r="11" spans="1:5" x14ac:dyDescent="0.35">
      <c r="A11" s="1" t="s">
        <v>45</v>
      </c>
      <c r="B11" s="1" t="s">
        <v>42</v>
      </c>
      <c r="C11">
        <v>252612.74</v>
      </c>
      <c r="D11">
        <v>11504.95</v>
      </c>
      <c r="E11">
        <v>0.13100000000000001</v>
      </c>
    </row>
    <row r="12" spans="1:5" x14ac:dyDescent="0.35">
      <c r="A12" s="1" t="s">
        <v>45</v>
      </c>
      <c r="B12" s="1" t="s">
        <v>40</v>
      </c>
      <c r="C12">
        <v>251991.83</v>
      </c>
      <c r="D12">
        <v>44303.65</v>
      </c>
      <c r="E12">
        <v>0.13400000000000001</v>
      </c>
    </row>
    <row r="13" spans="1:5" x14ac:dyDescent="0.35">
      <c r="A13" s="1" t="s">
        <v>45</v>
      </c>
      <c r="B13" s="1" t="s">
        <v>41</v>
      </c>
      <c r="C13">
        <v>220853.25</v>
      </c>
      <c r="D13">
        <v>52609.85</v>
      </c>
      <c r="E13">
        <v>9.2999999999999999E-2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E2AA0-DF22-4668-B4CB-2381ABB67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Queries</vt:lpstr>
      <vt:lpstr>Analysis</vt:lpstr>
      <vt:lpstr>yearly_trend</vt:lpstr>
      <vt:lpstr>customer_segments</vt:lpstr>
      <vt:lpstr>region_category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Shelza Bohtiya</dc:creator>
  <cp:lastModifiedBy>Shelza Bohtiya</cp:lastModifiedBy>
  <dcterms:created xsi:type="dcterms:W3CDTF">2026-04-22T09:07:21Z</dcterms:created>
  <dcterms:modified xsi:type="dcterms:W3CDTF">2026-04-23T18:41:40Z</dcterms:modified>
</cp:coreProperties>
</file>